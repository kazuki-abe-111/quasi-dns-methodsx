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大学\007. MethodsX\submitted\revice_2nd\dataに追加\"/>
    </mc:Choice>
  </mc:AlternateContent>
  <xr:revisionPtr revIDLastSave="0" documentId="13_ncr:1_{D0FF3C80-E890-427A-A027-8585DE451398}" xr6:coauthVersionLast="47" xr6:coauthVersionMax="47" xr10:uidLastSave="{00000000-0000-0000-0000-000000000000}"/>
  <bookViews>
    <workbookView xWindow="-120" yWindow="-120" windowWidth="29040" windowHeight="15720" xr2:uid="{57A79A30-1153-4D74-83FB-F4B5C79619D0}"/>
  </bookViews>
  <sheets>
    <sheet name="graph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5" l="1"/>
  <c r="H4" i="5"/>
  <c r="F4" i="5"/>
  <c r="G5" i="5"/>
  <c r="H5" i="5"/>
  <c r="F5" i="5"/>
  <c r="G6" i="5"/>
  <c r="H6" i="5"/>
  <c r="F6" i="5"/>
  <c r="G7" i="5"/>
  <c r="H7" i="5"/>
  <c r="F7" i="5"/>
  <c r="G8" i="5"/>
  <c r="H8" i="5"/>
  <c r="F8" i="5"/>
  <c r="G9" i="5"/>
  <c r="H9" i="5"/>
  <c r="F9" i="5"/>
  <c r="G10" i="5"/>
  <c r="H10" i="5"/>
  <c r="F10" i="5"/>
  <c r="G11" i="5"/>
  <c r="H11" i="5"/>
  <c r="F11" i="5"/>
  <c r="G12" i="5"/>
  <c r="H12" i="5"/>
  <c r="F12" i="5"/>
  <c r="G13" i="5"/>
  <c r="H13" i="5"/>
  <c r="F13" i="5"/>
  <c r="G14" i="5"/>
  <c r="H14" i="5"/>
  <c r="F14" i="5"/>
  <c r="G15" i="5"/>
  <c r="H15" i="5"/>
  <c r="F15" i="5"/>
  <c r="G16" i="5"/>
  <c r="H16" i="5"/>
  <c r="F16" i="5"/>
  <c r="G17" i="5"/>
  <c r="H17" i="5"/>
  <c r="F17" i="5"/>
  <c r="G18" i="5"/>
  <c r="H18" i="5"/>
  <c r="F18" i="5"/>
  <c r="G19" i="5"/>
  <c r="H19" i="5"/>
  <c r="F19" i="5"/>
  <c r="G20" i="5"/>
  <c r="H20" i="5"/>
  <c r="F20" i="5"/>
  <c r="G21" i="5"/>
  <c r="H21" i="5"/>
  <c r="F21" i="5"/>
  <c r="G22" i="5"/>
  <c r="H22" i="5"/>
  <c r="F22" i="5"/>
  <c r="G23" i="5"/>
  <c r="H23" i="5"/>
  <c r="F23" i="5"/>
  <c r="G24" i="5"/>
  <c r="H24" i="5"/>
  <c r="F24" i="5"/>
  <c r="G25" i="5"/>
  <c r="H25" i="5"/>
  <c r="F25" i="5"/>
  <c r="G26" i="5"/>
  <c r="H26" i="5"/>
  <c r="F26" i="5"/>
  <c r="G27" i="5"/>
  <c r="H27" i="5"/>
  <c r="F27" i="5"/>
  <c r="G28" i="5"/>
  <c r="H28" i="5"/>
  <c r="F28" i="5"/>
  <c r="G29" i="5"/>
  <c r="H29" i="5"/>
  <c r="F29" i="5"/>
  <c r="G30" i="5"/>
  <c r="H30" i="5"/>
  <c r="F30" i="5"/>
  <c r="G31" i="5"/>
  <c r="H31" i="5"/>
  <c r="F31" i="5"/>
  <c r="G32" i="5"/>
  <c r="H32" i="5"/>
  <c r="F32" i="5"/>
  <c r="G33" i="5"/>
  <c r="H33" i="5"/>
  <c r="F33" i="5"/>
  <c r="G34" i="5"/>
  <c r="H34" i="5"/>
  <c r="F34" i="5"/>
  <c r="G35" i="5"/>
  <c r="H35" i="5"/>
  <c r="F35" i="5"/>
  <c r="G36" i="5"/>
  <c r="H36" i="5"/>
  <c r="F36" i="5"/>
  <c r="G37" i="5"/>
  <c r="H37" i="5"/>
  <c r="F37" i="5"/>
  <c r="G38" i="5"/>
  <c r="H38" i="5"/>
  <c r="F38" i="5"/>
  <c r="G39" i="5"/>
  <c r="H39" i="5"/>
  <c r="F39" i="5"/>
  <c r="G40" i="5"/>
  <c r="H40" i="5"/>
  <c r="F40" i="5"/>
  <c r="G41" i="5"/>
  <c r="H41" i="5"/>
  <c r="F41" i="5"/>
  <c r="G42" i="5"/>
  <c r="H42" i="5"/>
  <c r="F42" i="5"/>
  <c r="G43" i="5"/>
  <c r="H43" i="5"/>
  <c r="F43" i="5"/>
  <c r="G44" i="5"/>
  <c r="H44" i="5"/>
  <c r="F44" i="5"/>
  <c r="G45" i="5"/>
  <c r="H45" i="5"/>
  <c r="F45" i="5"/>
  <c r="G46" i="5"/>
  <c r="H46" i="5"/>
  <c r="F46" i="5"/>
  <c r="G47" i="5"/>
  <c r="H47" i="5"/>
  <c r="F47" i="5"/>
  <c r="G48" i="5"/>
  <c r="H48" i="5"/>
  <c r="F48" i="5"/>
  <c r="G49" i="5"/>
  <c r="H49" i="5"/>
  <c r="F49" i="5"/>
  <c r="G50" i="5"/>
  <c r="H50" i="5"/>
  <c r="F50" i="5"/>
  <c r="G51" i="5"/>
  <c r="H51" i="5"/>
  <c r="F51" i="5"/>
  <c r="G52" i="5"/>
  <c r="H52" i="5"/>
  <c r="F52" i="5"/>
  <c r="G53" i="5"/>
  <c r="H53" i="5"/>
  <c r="F53" i="5"/>
  <c r="F3" i="5"/>
  <c r="H3" i="5"/>
  <c r="G3" i="5"/>
</calcChain>
</file>

<file path=xl/sharedStrings.xml><?xml version="1.0" encoding="utf-8"?>
<sst xmlns="http://schemas.openxmlformats.org/spreadsheetml/2006/main" count="9" uniqueCount="6">
  <si>
    <t>φ=0.45_RANS</t>
    <phoneticPr fontId="18"/>
  </si>
  <si>
    <t>x_max</t>
  </si>
  <si>
    <t>φ=0.45_premixed_Quasi-DNS_averaged</t>
    <phoneticPr fontId="18"/>
  </si>
  <si>
    <t>φ=0.45_Quasi-DNS_averaged</t>
    <phoneticPr fontId="18"/>
  </si>
  <si>
    <t>data</t>
    <phoneticPr fontId="18"/>
  </si>
  <si>
    <t>normalized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</si>
</sst>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graphs!$F$2</c:f>
              <c:strCache>
                <c:ptCount val="1"/>
                <c:pt idx="0">
                  <c:v>φ=0.45_RANS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graphs!$A$3:$A$53</c:f>
              <c:numCache>
                <c:formatCode>General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graphs!$F$3:$F$53</c:f>
              <c:numCache>
                <c:formatCode>General</c:formatCode>
                <c:ptCount val="51"/>
                <c:pt idx="0">
                  <c:v>2.2017336537979178E-10</c:v>
                </c:pt>
                <c:pt idx="1">
                  <c:v>1.0795664703615079E-3</c:v>
                </c:pt>
                <c:pt idx="2">
                  <c:v>7.0343133956603694E-3</c:v>
                </c:pt>
                <c:pt idx="3">
                  <c:v>3.0558557905608446E-2</c:v>
                </c:pt>
                <c:pt idx="4">
                  <c:v>7.7943294275301112E-2</c:v>
                </c:pt>
                <c:pt idx="5">
                  <c:v>0.14492686562596058</c:v>
                </c:pt>
                <c:pt idx="6">
                  <c:v>0.24452752495286612</c:v>
                </c:pt>
                <c:pt idx="7">
                  <c:v>0.35703483660092994</c:v>
                </c:pt>
                <c:pt idx="8">
                  <c:v>0.50300648931118763</c:v>
                </c:pt>
                <c:pt idx="9">
                  <c:v>0.64756404664943712</c:v>
                </c:pt>
                <c:pt idx="10">
                  <c:v>0.7989867893630187</c:v>
                </c:pt>
                <c:pt idx="11">
                  <c:v>0.9282070526339663</c:v>
                </c:pt>
                <c:pt idx="12">
                  <c:v>0.97047459837075511</c:v>
                </c:pt>
                <c:pt idx="13">
                  <c:v>0.98647830257433533</c:v>
                </c:pt>
                <c:pt idx="14">
                  <c:v>0.9928116336364825</c:v>
                </c:pt>
                <c:pt idx="15">
                  <c:v>0.99592576005512945</c:v>
                </c:pt>
                <c:pt idx="16">
                  <c:v>0.99749616922621731</c:v>
                </c:pt>
                <c:pt idx="17">
                  <c:v>0.99835659011581934</c:v>
                </c:pt>
                <c:pt idx="18">
                  <c:v>0.99886132749710987</c:v>
                </c:pt>
                <c:pt idx="19">
                  <c:v>0.99918223101313564</c:v>
                </c:pt>
                <c:pt idx="20">
                  <c:v>0.99939511694965555</c:v>
                </c:pt>
                <c:pt idx="21">
                  <c:v>0.99955067815084819</c:v>
                </c:pt>
                <c:pt idx="22">
                  <c:v>0.99966532670723884</c:v>
                </c:pt>
                <c:pt idx="23">
                  <c:v>0.999742138843418</c:v>
                </c:pt>
                <c:pt idx="24">
                  <c:v>0.99980545937501986</c:v>
                </c:pt>
                <c:pt idx="25">
                  <c:v>0.99985149145373187</c:v>
                </c:pt>
                <c:pt idx="26">
                  <c:v>0.99988513763055253</c:v>
                </c:pt>
                <c:pt idx="27">
                  <c:v>0.99990900576765152</c:v>
                </c:pt>
                <c:pt idx="28">
                  <c:v>0.99992925192227256</c:v>
                </c:pt>
                <c:pt idx="29">
                  <c:v>0.99994585988824003</c:v>
                </c:pt>
                <c:pt idx="30">
                  <c:v>0.99995727043014826</c:v>
                </c:pt>
                <c:pt idx="31">
                  <c:v>0.99996675398751522</c:v>
                </c:pt>
                <c:pt idx="32">
                  <c:v>0.99997447899305003</c:v>
                </c:pt>
                <c:pt idx="33">
                  <c:v>0.99998073500951112</c:v>
                </c:pt>
                <c:pt idx="34">
                  <c:v>0.99998483302633701</c:v>
                </c:pt>
                <c:pt idx="35">
                  <c:v>0.9999881623091057</c:v>
                </c:pt>
                <c:pt idx="36">
                  <c:v>0.99999086568230677</c:v>
                </c:pt>
                <c:pt idx="37">
                  <c:v>0.99999260216710928</c:v>
                </c:pt>
                <c:pt idx="38">
                  <c:v>0.99999447712910705</c:v>
                </c:pt>
                <c:pt idx="39">
                  <c:v>0.99999558218997509</c:v>
                </c:pt>
                <c:pt idx="40">
                  <c:v>0.99999680063977991</c:v>
                </c:pt>
                <c:pt idx="41">
                  <c:v>0.99999753666967717</c:v>
                </c:pt>
                <c:pt idx="42">
                  <c:v>0.99999812637287</c:v>
                </c:pt>
                <c:pt idx="43">
                  <c:v>0.99999862889318303</c:v>
                </c:pt>
                <c:pt idx="44">
                  <c:v>0.99999888982046414</c:v>
                </c:pt>
                <c:pt idx="45">
                  <c:v>0.99999920638499107</c:v>
                </c:pt>
                <c:pt idx="46">
                  <c:v>0.99999946602137313</c:v>
                </c:pt>
                <c:pt idx="47">
                  <c:v>0.99999961163813389</c:v>
                </c:pt>
                <c:pt idx="48">
                  <c:v>0.99999979212355938</c:v>
                </c:pt>
                <c:pt idx="49">
                  <c:v>0.99999991326124493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82-4DAE-ACAA-3C8168518EFD}"/>
            </c:ext>
          </c:extLst>
        </c:ser>
        <c:ser>
          <c:idx val="1"/>
          <c:order val="1"/>
          <c:tx>
            <c:strRef>
              <c:f>graphs!$G$2</c:f>
              <c:strCache>
                <c:ptCount val="1"/>
                <c:pt idx="0">
                  <c:v>φ=0.45_Quasi-DNS_averaged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graphs!$A$3:$A$53</c:f>
              <c:numCache>
                <c:formatCode>General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graphs!$G$3:$G$53</c:f>
              <c:numCache>
                <c:formatCode>General</c:formatCode>
                <c:ptCount val="51"/>
                <c:pt idx="0">
                  <c:v>9.466331941889146E-8</c:v>
                </c:pt>
                <c:pt idx="1">
                  <c:v>1.6542687044793816E-4</c:v>
                </c:pt>
                <c:pt idx="2">
                  <c:v>1.1364800580102581E-3</c:v>
                </c:pt>
                <c:pt idx="3">
                  <c:v>8.9720491644512592E-3</c:v>
                </c:pt>
                <c:pt idx="4">
                  <c:v>4.5012175509668191E-2</c:v>
                </c:pt>
                <c:pt idx="5">
                  <c:v>9.4896841030812112E-2</c:v>
                </c:pt>
                <c:pt idx="6">
                  <c:v>0.1582801533327218</c:v>
                </c:pt>
                <c:pt idx="7">
                  <c:v>0.25651859352222123</c:v>
                </c:pt>
                <c:pt idx="8">
                  <c:v>0.36248421734570058</c:v>
                </c:pt>
                <c:pt idx="9">
                  <c:v>0.46732514182733453</c:v>
                </c:pt>
                <c:pt idx="10">
                  <c:v>0.5694685993748938</c:v>
                </c:pt>
                <c:pt idx="11">
                  <c:v>0.66500935444043952</c:v>
                </c:pt>
                <c:pt idx="12">
                  <c:v>0.75332150025265121</c:v>
                </c:pt>
                <c:pt idx="13">
                  <c:v>0.83219802598255743</c:v>
                </c:pt>
                <c:pt idx="14">
                  <c:v>0.89553490877972275</c:v>
                </c:pt>
                <c:pt idx="15">
                  <c:v>0.93276362151385328</c:v>
                </c:pt>
                <c:pt idx="16">
                  <c:v>0.95305575702675949</c:v>
                </c:pt>
                <c:pt idx="17">
                  <c:v>0.96657047163559495</c:v>
                </c:pt>
                <c:pt idx="18">
                  <c:v>0.97638343440517861</c:v>
                </c:pt>
                <c:pt idx="19">
                  <c:v>0.9842337147633371</c:v>
                </c:pt>
                <c:pt idx="20">
                  <c:v>0.98880638211467464</c:v>
                </c:pt>
                <c:pt idx="21">
                  <c:v>0.99156804729036807</c:v>
                </c:pt>
                <c:pt idx="22">
                  <c:v>0.99350722975377848</c:v>
                </c:pt>
                <c:pt idx="23">
                  <c:v>0.99489565005459035</c:v>
                </c:pt>
                <c:pt idx="24">
                  <c:v>0.99571322771767301</c:v>
                </c:pt>
                <c:pt idx="25">
                  <c:v>0.99619143378266795</c:v>
                </c:pt>
                <c:pt idx="26">
                  <c:v>0.99683088121664176</c:v>
                </c:pt>
                <c:pt idx="27">
                  <c:v>0.99721302704534931</c:v>
                </c:pt>
                <c:pt idx="28">
                  <c:v>0.99757314023388</c:v>
                </c:pt>
                <c:pt idx="29">
                  <c:v>0.99790315353358217</c:v>
                </c:pt>
                <c:pt idx="30">
                  <c:v>0.99818763094790108</c:v>
                </c:pt>
                <c:pt idx="31">
                  <c:v>0.99831732687109298</c:v>
                </c:pt>
                <c:pt idx="32">
                  <c:v>0.9985588051135007</c:v>
                </c:pt>
                <c:pt idx="33">
                  <c:v>0.99878201750559603</c:v>
                </c:pt>
                <c:pt idx="34">
                  <c:v>0.99888628051171069</c:v>
                </c:pt>
                <c:pt idx="35">
                  <c:v>0.99898705917214647</c:v>
                </c:pt>
                <c:pt idx="36">
                  <c:v>0.99917906881465934</c:v>
                </c:pt>
                <c:pt idx="37">
                  <c:v>0.99926917116823921</c:v>
                </c:pt>
                <c:pt idx="38">
                  <c:v>0.99935446959564656</c:v>
                </c:pt>
                <c:pt idx="39">
                  <c:v>0.99943378215820466</c:v>
                </c:pt>
                <c:pt idx="40">
                  <c:v>0.99950549602017114</c:v>
                </c:pt>
                <c:pt idx="41">
                  <c:v>0.99956985100589579</c:v>
                </c:pt>
                <c:pt idx="42">
                  <c:v>0.99962865420363012</c:v>
                </c:pt>
                <c:pt idx="43">
                  <c:v>0.99968405539581351</c:v>
                </c:pt>
                <c:pt idx="44">
                  <c:v>0.9997378426586917</c:v>
                </c:pt>
                <c:pt idx="45">
                  <c:v>0.99979099476522426</c:v>
                </c:pt>
                <c:pt idx="46">
                  <c:v>0.99984385689086652</c:v>
                </c:pt>
                <c:pt idx="47">
                  <c:v>0.9998963852580568</c:v>
                </c:pt>
                <c:pt idx="48">
                  <c:v>0.9998963852580568</c:v>
                </c:pt>
                <c:pt idx="49">
                  <c:v>0.99994843156587521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82-4DAE-ACAA-3C8168518EFD}"/>
            </c:ext>
          </c:extLst>
        </c:ser>
        <c:ser>
          <c:idx val="3"/>
          <c:order val="2"/>
          <c:tx>
            <c:strRef>
              <c:f>graphs!$H$2</c:f>
              <c:strCache>
                <c:ptCount val="1"/>
                <c:pt idx="0">
                  <c:v>φ=0.45_premixed_Quasi-DNS_averaged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graphs!$A$3:$A$53</c:f>
              <c:numCache>
                <c:formatCode>General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graphs!$H$3:$H$53</c:f>
              <c:numCache>
                <c:formatCode>General</c:formatCode>
                <c:ptCount val="51"/>
                <c:pt idx="0">
                  <c:v>5.3754953658919101E-8</c:v>
                </c:pt>
                <c:pt idx="1">
                  <c:v>8.3867714240618303E-3</c:v>
                </c:pt>
                <c:pt idx="2">
                  <c:v>2.7235157726159365E-2</c:v>
                </c:pt>
                <c:pt idx="3">
                  <c:v>5.4121382467845612E-2</c:v>
                </c:pt>
                <c:pt idx="4">
                  <c:v>8.8821084447419166E-2</c:v>
                </c:pt>
                <c:pt idx="5">
                  <c:v>0.12850211746477955</c:v>
                </c:pt>
                <c:pt idx="6">
                  <c:v>0.17996164579558108</c:v>
                </c:pt>
                <c:pt idx="7">
                  <c:v>0.25006463226023196</c:v>
                </c:pt>
                <c:pt idx="8">
                  <c:v>0.33472700418353823</c:v>
                </c:pt>
                <c:pt idx="9">
                  <c:v>0.40578461616566475</c:v>
                </c:pt>
                <c:pt idx="10">
                  <c:v>0.46564364376173528</c:v>
                </c:pt>
                <c:pt idx="11">
                  <c:v>0.52016233531436729</c:v>
                </c:pt>
                <c:pt idx="12">
                  <c:v>0.57427275106282916</c:v>
                </c:pt>
                <c:pt idx="13">
                  <c:v>0.62889850801204861</c:v>
                </c:pt>
                <c:pt idx="14">
                  <c:v>0.68497686321785423</c:v>
                </c:pt>
                <c:pt idx="15">
                  <c:v>0.747001944779629</c:v>
                </c:pt>
                <c:pt idx="16">
                  <c:v>0.80313588512489698</c:v>
                </c:pt>
                <c:pt idx="17">
                  <c:v>0.85597116097981596</c:v>
                </c:pt>
                <c:pt idx="18">
                  <c:v>0.89800212724612127</c:v>
                </c:pt>
                <c:pt idx="19">
                  <c:v>0.92734229067847629</c:v>
                </c:pt>
                <c:pt idx="20">
                  <c:v>0.94567051137427671</c:v>
                </c:pt>
                <c:pt idx="21">
                  <c:v>0.95825289527783408</c:v>
                </c:pt>
                <c:pt idx="22">
                  <c:v>0.96899038507033253</c:v>
                </c:pt>
                <c:pt idx="23">
                  <c:v>0.97732850087395406</c:v>
                </c:pt>
                <c:pt idx="24">
                  <c:v>0.98214654534147805</c:v>
                </c:pt>
                <c:pt idx="25">
                  <c:v>0.98472660292607339</c:v>
                </c:pt>
                <c:pt idx="26">
                  <c:v>0.98790216917132867</c:v>
                </c:pt>
                <c:pt idx="27">
                  <c:v>0.98964523443709995</c:v>
                </c:pt>
                <c:pt idx="28">
                  <c:v>0.99113473691124632</c:v>
                </c:pt>
                <c:pt idx="29">
                  <c:v>0.99241615912991132</c:v>
                </c:pt>
                <c:pt idx="30">
                  <c:v>0.99351519788611697</c:v>
                </c:pt>
                <c:pt idx="31">
                  <c:v>0.9940074956030569</c:v>
                </c:pt>
                <c:pt idx="32">
                  <c:v>0.99490798669837821</c:v>
                </c:pt>
                <c:pt idx="33">
                  <c:v>0.99571209176498998</c:v>
                </c:pt>
                <c:pt idx="34">
                  <c:v>0.99607989901253891</c:v>
                </c:pt>
                <c:pt idx="35">
                  <c:v>0.99642633177212525</c:v>
                </c:pt>
                <c:pt idx="36">
                  <c:v>0.99706014345629812</c:v>
                </c:pt>
                <c:pt idx="37">
                  <c:v>0.99735148580608446</c:v>
                </c:pt>
                <c:pt idx="38">
                  <c:v>0.99762890365792267</c:v>
                </c:pt>
                <c:pt idx="39">
                  <c:v>0.99789421805812162</c:v>
                </c:pt>
                <c:pt idx="40">
                  <c:v>0.99814885220413241</c:v>
                </c:pt>
                <c:pt idx="41">
                  <c:v>0.99839280606462399</c:v>
                </c:pt>
                <c:pt idx="42">
                  <c:v>0.99862614186021303</c:v>
                </c:pt>
                <c:pt idx="43">
                  <c:v>0.99884838688364286</c:v>
                </c:pt>
                <c:pt idx="44">
                  <c:v>0.99906059054197205</c:v>
                </c:pt>
                <c:pt idx="45">
                  <c:v>0.99926387436608788</c:v>
                </c:pt>
                <c:pt idx="46">
                  <c:v>0.9994590161951411</c:v>
                </c:pt>
                <c:pt idx="47">
                  <c:v>0.99964669422183816</c:v>
                </c:pt>
                <c:pt idx="48">
                  <c:v>0.99964669422183816</c:v>
                </c:pt>
                <c:pt idx="49">
                  <c:v>0.99982709701994876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82-4DAE-ACAA-3C8168518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503688"/>
        <c:axId val="777505848"/>
        <c:extLst/>
      </c:scatterChart>
      <c:valAx>
        <c:axId val="777503688"/>
        <c:scaling>
          <c:orientation val="minMax"/>
          <c:max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en-US"/>
                  <a:t>Axial position (m)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777505848"/>
        <c:crosses val="autoZero"/>
        <c:crossBetween val="midCat"/>
      </c:valAx>
      <c:valAx>
        <c:axId val="777505848"/>
        <c:scaling>
          <c:logBase val="10"/>
          <c:orientation val="minMax"/>
          <c:min val="1.0000000000000003E-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en-US"/>
                  <a:t>Qdot (normalized)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777503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30993000874892"/>
          <c:y val="0.37398928258967634"/>
          <c:w val="0.77282895888014003"/>
          <c:h val="0.4567746376811595"/>
        </c:manualLayout>
      </c:layout>
      <c:scatterChart>
        <c:scatterStyle val="lineMarker"/>
        <c:varyColors val="0"/>
        <c:ser>
          <c:idx val="2"/>
          <c:order val="0"/>
          <c:tx>
            <c:strRef>
              <c:f>graphs!$F$2</c:f>
              <c:strCache>
                <c:ptCount val="1"/>
                <c:pt idx="0">
                  <c:v>φ=0.45_RANS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graphs!$A$3:$A$53</c:f>
              <c:numCache>
                <c:formatCode>General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graphs!$F$3:$F$53</c:f>
              <c:numCache>
                <c:formatCode>General</c:formatCode>
                <c:ptCount val="51"/>
                <c:pt idx="0">
                  <c:v>2.2017336537979178E-10</c:v>
                </c:pt>
                <c:pt idx="1">
                  <c:v>1.0795664703615079E-3</c:v>
                </c:pt>
                <c:pt idx="2">
                  <c:v>7.0343133956603694E-3</c:v>
                </c:pt>
                <c:pt idx="3">
                  <c:v>3.0558557905608446E-2</c:v>
                </c:pt>
                <c:pt idx="4">
                  <c:v>7.7943294275301112E-2</c:v>
                </c:pt>
                <c:pt idx="5">
                  <c:v>0.14492686562596058</c:v>
                </c:pt>
                <c:pt idx="6">
                  <c:v>0.24452752495286612</c:v>
                </c:pt>
                <c:pt idx="7">
                  <c:v>0.35703483660092994</c:v>
                </c:pt>
                <c:pt idx="8">
                  <c:v>0.50300648931118763</c:v>
                </c:pt>
                <c:pt idx="9">
                  <c:v>0.64756404664943712</c:v>
                </c:pt>
                <c:pt idx="10">
                  <c:v>0.7989867893630187</c:v>
                </c:pt>
                <c:pt idx="11">
                  <c:v>0.9282070526339663</c:v>
                </c:pt>
                <c:pt idx="12">
                  <c:v>0.97047459837075511</c:v>
                </c:pt>
                <c:pt idx="13">
                  <c:v>0.98647830257433533</c:v>
                </c:pt>
                <c:pt idx="14">
                  <c:v>0.9928116336364825</c:v>
                </c:pt>
                <c:pt idx="15">
                  <c:v>0.99592576005512945</c:v>
                </c:pt>
                <c:pt idx="16">
                  <c:v>0.99749616922621731</c:v>
                </c:pt>
                <c:pt idx="17">
                  <c:v>0.99835659011581934</c:v>
                </c:pt>
                <c:pt idx="18">
                  <c:v>0.99886132749710987</c:v>
                </c:pt>
                <c:pt idx="19">
                  <c:v>0.99918223101313564</c:v>
                </c:pt>
                <c:pt idx="20">
                  <c:v>0.99939511694965555</c:v>
                </c:pt>
                <c:pt idx="21">
                  <c:v>0.99955067815084819</c:v>
                </c:pt>
                <c:pt idx="22">
                  <c:v>0.99966532670723884</c:v>
                </c:pt>
                <c:pt idx="23">
                  <c:v>0.999742138843418</c:v>
                </c:pt>
                <c:pt idx="24">
                  <c:v>0.99980545937501986</c:v>
                </c:pt>
                <c:pt idx="25">
                  <c:v>0.99985149145373187</c:v>
                </c:pt>
                <c:pt idx="26">
                  <c:v>0.99988513763055253</c:v>
                </c:pt>
                <c:pt idx="27">
                  <c:v>0.99990900576765152</c:v>
                </c:pt>
                <c:pt idx="28">
                  <c:v>0.99992925192227256</c:v>
                </c:pt>
                <c:pt idx="29">
                  <c:v>0.99994585988824003</c:v>
                </c:pt>
                <c:pt idx="30">
                  <c:v>0.99995727043014826</c:v>
                </c:pt>
                <c:pt idx="31">
                  <c:v>0.99996675398751522</c:v>
                </c:pt>
                <c:pt idx="32">
                  <c:v>0.99997447899305003</c:v>
                </c:pt>
                <c:pt idx="33">
                  <c:v>0.99998073500951112</c:v>
                </c:pt>
                <c:pt idx="34">
                  <c:v>0.99998483302633701</c:v>
                </c:pt>
                <c:pt idx="35">
                  <c:v>0.9999881623091057</c:v>
                </c:pt>
                <c:pt idx="36">
                  <c:v>0.99999086568230677</c:v>
                </c:pt>
                <c:pt idx="37">
                  <c:v>0.99999260216710928</c:v>
                </c:pt>
                <c:pt idx="38">
                  <c:v>0.99999447712910705</c:v>
                </c:pt>
                <c:pt idx="39">
                  <c:v>0.99999558218997509</c:v>
                </c:pt>
                <c:pt idx="40">
                  <c:v>0.99999680063977991</c:v>
                </c:pt>
                <c:pt idx="41">
                  <c:v>0.99999753666967717</c:v>
                </c:pt>
                <c:pt idx="42">
                  <c:v>0.99999812637287</c:v>
                </c:pt>
                <c:pt idx="43">
                  <c:v>0.99999862889318303</c:v>
                </c:pt>
                <c:pt idx="44">
                  <c:v>0.99999888982046414</c:v>
                </c:pt>
                <c:pt idx="45">
                  <c:v>0.99999920638499107</c:v>
                </c:pt>
                <c:pt idx="46">
                  <c:v>0.99999946602137313</c:v>
                </c:pt>
                <c:pt idx="47">
                  <c:v>0.99999961163813389</c:v>
                </c:pt>
                <c:pt idx="48">
                  <c:v>0.99999979212355938</c:v>
                </c:pt>
                <c:pt idx="49">
                  <c:v>0.99999991326124493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427-4E7F-9E9A-651F6C18D80E}"/>
            </c:ext>
          </c:extLst>
        </c:ser>
        <c:ser>
          <c:idx val="1"/>
          <c:order val="1"/>
          <c:tx>
            <c:strRef>
              <c:f>graphs!$G$2</c:f>
              <c:strCache>
                <c:ptCount val="1"/>
                <c:pt idx="0">
                  <c:v>φ=0.45_Quasi-DNS_averaged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graphs!$A$3:$A$53</c:f>
              <c:numCache>
                <c:formatCode>General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graphs!$G$3:$G$53</c:f>
              <c:numCache>
                <c:formatCode>General</c:formatCode>
                <c:ptCount val="51"/>
                <c:pt idx="0">
                  <c:v>9.466331941889146E-8</c:v>
                </c:pt>
                <c:pt idx="1">
                  <c:v>1.6542687044793816E-4</c:v>
                </c:pt>
                <c:pt idx="2">
                  <c:v>1.1364800580102581E-3</c:v>
                </c:pt>
                <c:pt idx="3">
                  <c:v>8.9720491644512592E-3</c:v>
                </c:pt>
                <c:pt idx="4">
                  <c:v>4.5012175509668191E-2</c:v>
                </c:pt>
                <c:pt idx="5">
                  <c:v>9.4896841030812112E-2</c:v>
                </c:pt>
                <c:pt idx="6">
                  <c:v>0.1582801533327218</c:v>
                </c:pt>
                <c:pt idx="7">
                  <c:v>0.25651859352222123</c:v>
                </c:pt>
                <c:pt idx="8">
                  <c:v>0.36248421734570058</c:v>
                </c:pt>
                <c:pt idx="9">
                  <c:v>0.46732514182733453</c:v>
                </c:pt>
                <c:pt idx="10">
                  <c:v>0.5694685993748938</c:v>
                </c:pt>
                <c:pt idx="11">
                  <c:v>0.66500935444043952</c:v>
                </c:pt>
                <c:pt idx="12">
                  <c:v>0.75332150025265121</c:v>
                </c:pt>
                <c:pt idx="13">
                  <c:v>0.83219802598255743</c:v>
                </c:pt>
                <c:pt idx="14">
                  <c:v>0.89553490877972275</c:v>
                </c:pt>
                <c:pt idx="15">
                  <c:v>0.93276362151385328</c:v>
                </c:pt>
                <c:pt idx="16">
                  <c:v>0.95305575702675949</c:v>
                </c:pt>
                <c:pt idx="17">
                  <c:v>0.96657047163559495</c:v>
                </c:pt>
                <c:pt idx="18">
                  <c:v>0.97638343440517861</c:v>
                </c:pt>
                <c:pt idx="19">
                  <c:v>0.9842337147633371</c:v>
                </c:pt>
                <c:pt idx="20">
                  <c:v>0.98880638211467464</c:v>
                </c:pt>
                <c:pt idx="21">
                  <c:v>0.99156804729036807</c:v>
                </c:pt>
                <c:pt idx="22">
                  <c:v>0.99350722975377848</c:v>
                </c:pt>
                <c:pt idx="23">
                  <c:v>0.99489565005459035</c:v>
                </c:pt>
                <c:pt idx="24">
                  <c:v>0.99571322771767301</c:v>
                </c:pt>
                <c:pt idx="25">
                  <c:v>0.99619143378266795</c:v>
                </c:pt>
                <c:pt idx="26">
                  <c:v>0.99683088121664176</c:v>
                </c:pt>
                <c:pt idx="27">
                  <c:v>0.99721302704534931</c:v>
                </c:pt>
                <c:pt idx="28">
                  <c:v>0.99757314023388</c:v>
                </c:pt>
                <c:pt idx="29">
                  <c:v>0.99790315353358217</c:v>
                </c:pt>
                <c:pt idx="30">
                  <c:v>0.99818763094790108</c:v>
                </c:pt>
                <c:pt idx="31">
                  <c:v>0.99831732687109298</c:v>
                </c:pt>
                <c:pt idx="32">
                  <c:v>0.9985588051135007</c:v>
                </c:pt>
                <c:pt idx="33">
                  <c:v>0.99878201750559603</c:v>
                </c:pt>
                <c:pt idx="34">
                  <c:v>0.99888628051171069</c:v>
                </c:pt>
                <c:pt idx="35">
                  <c:v>0.99898705917214647</c:v>
                </c:pt>
                <c:pt idx="36">
                  <c:v>0.99917906881465934</c:v>
                </c:pt>
                <c:pt idx="37">
                  <c:v>0.99926917116823921</c:v>
                </c:pt>
                <c:pt idx="38">
                  <c:v>0.99935446959564656</c:v>
                </c:pt>
                <c:pt idx="39">
                  <c:v>0.99943378215820466</c:v>
                </c:pt>
                <c:pt idx="40">
                  <c:v>0.99950549602017114</c:v>
                </c:pt>
                <c:pt idx="41">
                  <c:v>0.99956985100589579</c:v>
                </c:pt>
                <c:pt idx="42">
                  <c:v>0.99962865420363012</c:v>
                </c:pt>
                <c:pt idx="43">
                  <c:v>0.99968405539581351</c:v>
                </c:pt>
                <c:pt idx="44">
                  <c:v>0.9997378426586917</c:v>
                </c:pt>
                <c:pt idx="45">
                  <c:v>0.99979099476522426</c:v>
                </c:pt>
                <c:pt idx="46">
                  <c:v>0.99984385689086652</c:v>
                </c:pt>
                <c:pt idx="47">
                  <c:v>0.9998963852580568</c:v>
                </c:pt>
                <c:pt idx="48">
                  <c:v>0.9998963852580568</c:v>
                </c:pt>
                <c:pt idx="49">
                  <c:v>0.99994843156587521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27-4E7F-9E9A-651F6C18D80E}"/>
            </c:ext>
          </c:extLst>
        </c:ser>
        <c:ser>
          <c:idx val="3"/>
          <c:order val="2"/>
          <c:tx>
            <c:strRef>
              <c:f>graphs!$H$2</c:f>
              <c:strCache>
                <c:ptCount val="1"/>
                <c:pt idx="0">
                  <c:v>φ=0.45_premixed_Quasi-DNS_averaged</c:v>
                </c:pt>
              </c:strCache>
            </c:strRef>
          </c:tx>
          <c:spPr>
            <a:ln w="19050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graphs!$A$3:$A$53</c:f>
              <c:numCache>
                <c:formatCode>General</c:formatCode>
                <c:ptCount val="5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</c:numCache>
            </c:numRef>
          </c:xVal>
          <c:yVal>
            <c:numRef>
              <c:f>graphs!$H$3:$H$53</c:f>
              <c:numCache>
                <c:formatCode>General</c:formatCode>
                <c:ptCount val="51"/>
                <c:pt idx="0">
                  <c:v>5.3754953658919101E-8</c:v>
                </c:pt>
                <c:pt idx="1">
                  <c:v>8.3867714240618303E-3</c:v>
                </c:pt>
                <c:pt idx="2">
                  <c:v>2.7235157726159365E-2</c:v>
                </c:pt>
                <c:pt idx="3">
                  <c:v>5.4121382467845612E-2</c:v>
                </c:pt>
                <c:pt idx="4">
                  <c:v>8.8821084447419166E-2</c:v>
                </c:pt>
                <c:pt idx="5">
                  <c:v>0.12850211746477955</c:v>
                </c:pt>
                <c:pt idx="6">
                  <c:v>0.17996164579558108</c:v>
                </c:pt>
                <c:pt idx="7">
                  <c:v>0.25006463226023196</c:v>
                </c:pt>
                <c:pt idx="8">
                  <c:v>0.33472700418353823</c:v>
                </c:pt>
                <c:pt idx="9">
                  <c:v>0.40578461616566475</c:v>
                </c:pt>
                <c:pt idx="10">
                  <c:v>0.46564364376173528</c:v>
                </c:pt>
                <c:pt idx="11">
                  <c:v>0.52016233531436729</c:v>
                </c:pt>
                <c:pt idx="12">
                  <c:v>0.57427275106282916</c:v>
                </c:pt>
                <c:pt idx="13">
                  <c:v>0.62889850801204861</c:v>
                </c:pt>
                <c:pt idx="14">
                  <c:v>0.68497686321785423</c:v>
                </c:pt>
                <c:pt idx="15">
                  <c:v>0.747001944779629</c:v>
                </c:pt>
                <c:pt idx="16">
                  <c:v>0.80313588512489698</c:v>
                </c:pt>
                <c:pt idx="17">
                  <c:v>0.85597116097981596</c:v>
                </c:pt>
                <c:pt idx="18">
                  <c:v>0.89800212724612127</c:v>
                </c:pt>
                <c:pt idx="19">
                  <c:v>0.92734229067847629</c:v>
                </c:pt>
                <c:pt idx="20">
                  <c:v>0.94567051137427671</c:v>
                </c:pt>
                <c:pt idx="21">
                  <c:v>0.95825289527783408</c:v>
                </c:pt>
                <c:pt idx="22">
                  <c:v>0.96899038507033253</c:v>
                </c:pt>
                <c:pt idx="23">
                  <c:v>0.97732850087395406</c:v>
                </c:pt>
                <c:pt idx="24">
                  <c:v>0.98214654534147805</c:v>
                </c:pt>
                <c:pt idx="25">
                  <c:v>0.98472660292607339</c:v>
                </c:pt>
                <c:pt idx="26">
                  <c:v>0.98790216917132867</c:v>
                </c:pt>
                <c:pt idx="27">
                  <c:v>0.98964523443709995</c:v>
                </c:pt>
                <c:pt idx="28">
                  <c:v>0.99113473691124632</c:v>
                </c:pt>
                <c:pt idx="29">
                  <c:v>0.99241615912991132</c:v>
                </c:pt>
                <c:pt idx="30">
                  <c:v>0.99351519788611697</c:v>
                </c:pt>
                <c:pt idx="31">
                  <c:v>0.9940074956030569</c:v>
                </c:pt>
                <c:pt idx="32">
                  <c:v>0.99490798669837821</c:v>
                </c:pt>
                <c:pt idx="33">
                  <c:v>0.99571209176498998</c:v>
                </c:pt>
                <c:pt idx="34">
                  <c:v>0.99607989901253891</c:v>
                </c:pt>
                <c:pt idx="35">
                  <c:v>0.99642633177212525</c:v>
                </c:pt>
                <c:pt idx="36">
                  <c:v>0.99706014345629812</c:v>
                </c:pt>
                <c:pt idx="37">
                  <c:v>0.99735148580608446</c:v>
                </c:pt>
                <c:pt idx="38">
                  <c:v>0.99762890365792267</c:v>
                </c:pt>
                <c:pt idx="39">
                  <c:v>0.99789421805812162</c:v>
                </c:pt>
                <c:pt idx="40">
                  <c:v>0.99814885220413241</c:v>
                </c:pt>
                <c:pt idx="41">
                  <c:v>0.99839280606462399</c:v>
                </c:pt>
                <c:pt idx="42">
                  <c:v>0.99862614186021303</c:v>
                </c:pt>
                <c:pt idx="43">
                  <c:v>0.99884838688364286</c:v>
                </c:pt>
                <c:pt idx="44">
                  <c:v>0.99906059054197205</c:v>
                </c:pt>
                <c:pt idx="45">
                  <c:v>0.99926387436608788</c:v>
                </c:pt>
                <c:pt idx="46">
                  <c:v>0.9994590161951411</c:v>
                </c:pt>
                <c:pt idx="47">
                  <c:v>0.99964669422183816</c:v>
                </c:pt>
                <c:pt idx="48">
                  <c:v>0.99964669422183816</c:v>
                </c:pt>
                <c:pt idx="49">
                  <c:v>0.99982709701994876</c:v>
                </c:pt>
                <c:pt idx="5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27-4E7F-9E9A-651F6C18D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503688"/>
        <c:axId val="777505848"/>
        <c:extLst/>
      </c:scatterChart>
      <c:valAx>
        <c:axId val="777503688"/>
        <c:scaling>
          <c:orientation val="minMax"/>
          <c:max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en-US"/>
                  <a:t>Axial position (m)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777505848"/>
        <c:crosses val="autoZero"/>
        <c:crossBetween val="midCat"/>
      </c:valAx>
      <c:valAx>
        <c:axId val="77750584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eiryo UI" panose="020B0604030504040204" pitchFamily="50" charset="-128"/>
                    <a:ea typeface="Meiryo UI" panose="020B0604030504040204" pitchFamily="50" charset="-128"/>
                    <a:cs typeface="+mn-cs"/>
                  </a:defRPr>
                </a:pPr>
                <a:r>
                  <a:rPr lang="en-US"/>
                  <a:t>Qdot (normalized)</a:t>
                </a:r>
                <a:endParaRPr lang="ja-JP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Meiryo UI" panose="020B0604030504040204" pitchFamily="50" charset="-128"/>
                  <a:ea typeface="Meiryo UI" panose="020B0604030504040204" pitchFamily="50" charset="-128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eiryo UI" panose="020B0604030504040204" pitchFamily="50" charset="-128"/>
                <a:ea typeface="Meiryo UI" panose="020B0604030504040204" pitchFamily="50" charset="-128"/>
                <a:cs typeface="+mn-cs"/>
              </a:defRPr>
            </a:pPr>
            <a:endParaRPr lang="ja-JP"/>
          </a:p>
        </c:txPr>
        <c:crossAx val="77750368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3.5867891513560818E-2"/>
          <c:y val="2.3518518518518518E-2"/>
          <c:w val="0.94770844269466314"/>
          <c:h val="0.303423429951690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Meiryo UI" panose="020B0604030504040204" pitchFamily="50" charset="-128"/>
          <a:ea typeface="Meiryo UI" panose="020B0604030504040204" pitchFamily="50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581025</xdr:colOff>
      <xdr:row>8</xdr:row>
      <xdr:rowOff>206175</xdr:rowOff>
    </xdr:from>
    <xdr:to>
      <xdr:col>23</xdr:col>
      <xdr:colOff>352425</xdr:colOff>
      <xdr:row>20</xdr:row>
      <xdr:rowOff>91875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E539432-07AB-4133-8743-1B0BDF9AF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3</xdr:row>
      <xdr:rowOff>0</xdr:rowOff>
    </xdr:from>
    <xdr:to>
      <xdr:col>16</xdr:col>
      <xdr:colOff>457200</xdr:colOff>
      <xdr:row>20</xdr:row>
      <xdr:rowOff>91875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512D34B-A24B-4AF4-876E-16547960D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6663-319E-49EA-978C-60956318B568}">
  <dimension ref="A1:H53"/>
  <sheetViews>
    <sheetView tabSelected="1" workbookViewId="0"/>
  </sheetViews>
  <sheetFormatPr defaultRowHeight="18.75" x14ac:dyDescent="0.4"/>
  <sheetData>
    <row r="1" spans="1:8" x14ac:dyDescent="0.4">
      <c r="B1" t="s">
        <v>4</v>
      </c>
      <c r="F1" t="s">
        <v>5</v>
      </c>
    </row>
    <row r="2" spans="1:8" x14ac:dyDescent="0.4">
      <c r="A2" t="s">
        <v>1</v>
      </c>
      <c r="B2" t="s">
        <v>0</v>
      </c>
      <c r="C2" t="s">
        <v>3</v>
      </c>
      <c r="D2" t="s">
        <v>2</v>
      </c>
      <c r="F2" t="s">
        <v>0</v>
      </c>
      <c r="G2" t="s">
        <v>3</v>
      </c>
      <c r="H2" t="s">
        <v>2</v>
      </c>
    </row>
    <row r="3" spans="1:8" x14ac:dyDescent="0.4">
      <c r="A3">
        <v>0</v>
      </c>
      <c r="B3" s="1">
        <v>3.5317987456457497E-8</v>
      </c>
      <c r="C3" s="1">
        <v>1.58204602635116E-5</v>
      </c>
      <c r="D3" s="1">
        <v>8.2095622505197396E-6</v>
      </c>
      <c r="E3" s="1"/>
      <c r="F3">
        <f t="shared" ref="F3:F34" si="0">B3/$B$53</f>
        <v>2.2017336537979178E-10</v>
      </c>
      <c r="G3">
        <f t="shared" ref="G3:G34" si="1">C3/$C$53</f>
        <v>9.466331941889146E-8</v>
      </c>
      <c r="H3">
        <f t="shared" ref="H3:H34" si="2">D3/$D$53</f>
        <v>5.3754953658919101E-8</v>
      </c>
    </row>
    <row r="4" spans="1:8" x14ac:dyDescent="0.4">
      <c r="A4">
        <v>0.01</v>
      </c>
      <c r="B4">
        <v>0.17317314922661101</v>
      </c>
      <c r="C4">
        <v>2.7646708846725699E-2</v>
      </c>
      <c r="D4">
        <v>1.2808442273727401</v>
      </c>
      <c r="F4">
        <f t="shared" si="0"/>
        <v>1.0795664703615079E-3</v>
      </c>
      <c r="G4">
        <f t="shared" si="1"/>
        <v>1.6542687044793816E-4</v>
      </c>
      <c r="H4">
        <f t="shared" si="2"/>
        <v>8.3867714240618303E-3</v>
      </c>
    </row>
    <row r="5" spans="1:8" x14ac:dyDescent="0.4">
      <c r="A5">
        <v>0.02</v>
      </c>
      <c r="B5">
        <v>1.12837350623304</v>
      </c>
      <c r="C5">
        <v>0.189932464954705</v>
      </c>
      <c r="D5">
        <v>4.1594068553071999</v>
      </c>
      <c r="F5">
        <f t="shared" si="0"/>
        <v>7.0343133956603694E-3</v>
      </c>
      <c r="G5">
        <f t="shared" si="1"/>
        <v>1.1364800580102581E-3</v>
      </c>
      <c r="H5">
        <f t="shared" si="2"/>
        <v>2.7235157726159365E-2</v>
      </c>
    </row>
    <row r="6" spans="1:8" x14ac:dyDescent="0.4">
      <c r="A6">
        <v>0.03</v>
      </c>
      <c r="B6">
        <v>4.90189520851448</v>
      </c>
      <c r="C6">
        <v>1.4994397847002501</v>
      </c>
      <c r="D6">
        <v>8.2655239789281296</v>
      </c>
      <c r="F6">
        <f t="shared" si="0"/>
        <v>3.0558557905608446E-2</v>
      </c>
      <c r="G6">
        <f t="shared" si="1"/>
        <v>8.9720491644512592E-3</v>
      </c>
      <c r="H6">
        <f t="shared" si="2"/>
        <v>5.4121382467845612E-2</v>
      </c>
    </row>
    <row r="7" spans="1:8" x14ac:dyDescent="0.4">
      <c r="A7">
        <v>0.04</v>
      </c>
      <c r="B7">
        <v>12.5028760167315</v>
      </c>
      <c r="C7">
        <v>7.52258993659167</v>
      </c>
      <c r="D7">
        <v>13.5649307142277</v>
      </c>
      <c r="F7">
        <f t="shared" si="0"/>
        <v>7.7943294275301112E-2</v>
      </c>
      <c r="G7">
        <f t="shared" si="1"/>
        <v>4.5012175509668191E-2</v>
      </c>
      <c r="H7">
        <f t="shared" si="2"/>
        <v>8.8821084447419166E-2</v>
      </c>
    </row>
    <row r="8" spans="1:8" x14ac:dyDescent="0.4">
      <c r="A8">
        <v>0.05</v>
      </c>
      <c r="B8">
        <v>23.247703978417601</v>
      </c>
      <c r="C8">
        <v>15.8594872002886</v>
      </c>
      <c r="D8">
        <v>19.625096123130401</v>
      </c>
      <c r="F8">
        <f t="shared" si="0"/>
        <v>0.14492686562596058</v>
      </c>
      <c r="G8">
        <f t="shared" si="1"/>
        <v>9.4896841030812112E-2</v>
      </c>
      <c r="H8">
        <f t="shared" si="2"/>
        <v>0.12850211746477955</v>
      </c>
    </row>
    <row r="9" spans="1:8" x14ac:dyDescent="0.4">
      <c r="A9">
        <v>0.06</v>
      </c>
      <c r="B9">
        <v>39.224635750771803</v>
      </c>
      <c r="C9">
        <v>26.452324846355701</v>
      </c>
      <c r="D9">
        <v>27.484096502791299</v>
      </c>
      <c r="F9">
        <f t="shared" si="0"/>
        <v>0.24452752495286612</v>
      </c>
      <c r="G9">
        <f t="shared" si="1"/>
        <v>0.1582801533327218</v>
      </c>
      <c r="H9">
        <f t="shared" si="2"/>
        <v>0.17996164579558108</v>
      </c>
    </row>
    <row r="10" spans="1:8" x14ac:dyDescent="0.4">
      <c r="A10">
        <v>7.0000000000000007E-2</v>
      </c>
      <c r="B10">
        <v>57.271922327383201</v>
      </c>
      <c r="C10">
        <v>42.870271617163503</v>
      </c>
      <c r="D10">
        <v>38.190362477469598</v>
      </c>
      <c r="F10">
        <f t="shared" si="0"/>
        <v>0.35703483660092994</v>
      </c>
      <c r="G10">
        <f t="shared" si="1"/>
        <v>0.25651859352222123</v>
      </c>
      <c r="H10">
        <f t="shared" si="2"/>
        <v>0.25006463226023196</v>
      </c>
    </row>
    <row r="11" spans="1:8" x14ac:dyDescent="0.4">
      <c r="A11">
        <v>0.08</v>
      </c>
      <c r="B11">
        <v>80.687220497197302</v>
      </c>
      <c r="C11">
        <v>60.579611953934098</v>
      </c>
      <c r="D11">
        <v>51.120166435466601</v>
      </c>
      <c r="F11">
        <f t="shared" si="0"/>
        <v>0.50300648931118763</v>
      </c>
      <c r="G11">
        <f t="shared" si="1"/>
        <v>0.36248421734570058</v>
      </c>
      <c r="H11">
        <f t="shared" si="2"/>
        <v>0.33472700418353823</v>
      </c>
    </row>
    <row r="12" spans="1:8" x14ac:dyDescent="0.4">
      <c r="A12">
        <v>0.09</v>
      </c>
      <c r="B12">
        <v>103.875683770226</v>
      </c>
      <c r="C12">
        <v>78.100988659645793</v>
      </c>
      <c r="D12">
        <v>61.972224696775399</v>
      </c>
      <c r="F12">
        <f t="shared" si="0"/>
        <v>0.64756404664943712</v>
      </c>
      <c r="G12">
        <f t="shared" si="1"/>
        <v>0.46732514182733453</v>
      </c>
      <c r="H12">
        <f t="shared" si="2"/>
        <v>0.40578461616566475</v>
      </c>
    </row>
    <row r="13" spans="1:8" x14ac:dyDescent="0.4">
      <c r="A13">
        <v>0.1</v>
      </c>
      <c r="B13">
        <v>128.16539074071099</v>
      </c>
      <c r="C13">
        <v>95.171555392660196</v>
      </c>
      <c r="D13">
        <v>71.114013124751907</v>
      </c>
      <c r="F13">
        <f t="shared" si="0"/>
        <v>0.7989867893630187</v>
      </c>
      <c r="G13">
        <f t="shared" si="1"/>
        <v>0.5694685993748938</v>
      </c>
      <c r="H13">
        <f t="shared" si="2"/>
        <v>0.46564364376173528</v>
      </c>
    </row>
    <row r="14" spans="1:8" x14ac:dyDescent="0.4">
      <c r="A14">
        <v>0.11</v>
      </c>
      <c r="B14">
        <v>148.893600210785</v>
      </c>
      <c r="C14">
        <v>111.138655726126</v>
      </c>
      <c r="D14">
        <v>79.440214928554497</v>
      </c>
      <c r="F14">
        <f t="shared" si="0"/>
        <v>0.9282070526339663</v>
      </c>
      <c r="G14">
        <f t="shared" si="1"/>
        <v>0.66500935444043952</v>
      </c>
      <c r="H14">
        <f t="shared" si="2"/>
        <v>0.52016233531436729</v>
      </c>
    </row>
    <row r="15" spans="1:8" x14ac:dyDescent="0.4">
      <c r="A15">
        <v>0.12</v>
      </c>
      <c r="B15">
        <v>155.673732982849</v>
      </c>
      <c r="C15">
        <v>125.897685962802</v>
      </c>
      <c r="D15">
        <v>87.704064048528494</v>
      </c>
      <c r="F15">
        <f t="shared" si="0"/>
        <v>0.97047459837075511</v>
      </c>
      <c r="G15">
        <f t="shared" si="1"/>
        <v>0.75332150025265121</v>
      </c>
      <c r="H15">
        <f t="shared" si="2"/>
        <v>0.57427275106282916</v>
      </c>
    </row>
    <row r="16" spans="1:8" x14ac:dyDescent="0.4">
      <c r="A16">
        <v>0.13</v>
      </c>
      <c r="B16">
        <v>158.24088556892099</v>
      </c>
      <c r="C16">
        <v>139.07980284497</v>
      </c>
      <c r="D16">
        <v>96.046617090279099</v>
      </c>
      <c r="F16">
        <f t="shared" si="0"/>
        <v>0.98647830257433533</v>
      </c>
      <c r="G16">
        <f t="shared" si="1"/>
        <v>0.83219802598255743</v>
      </c>
      <c r="H16">
        <f t="shared" si="2"/>
        <v>0.62889850801204861</v>
      </c>
    </row>
    <row r="17" spans="1:8" x14ac:dyDescent="0.4">
      <c r="A17">
        <v>0.14000000000000001</v>
      </c>
      <c r="B17">
        <v>159.25681456934601</v>
      </c>
      <c r="C17">
        <v>149.664881032153</v>
      </c>
      <c r="D17">
        <v>104.611013794813</v>
      </c>
      <c r="F17">
        <f t="shared" si="0"/>
        <v>0.9928116336364825</v>
      </c>
      <c r="G17">
        <f t="shared" si="1"/>
        <v>0.89553490877972275</v>
      </c>
      <c r="H17">
        <f t="shared" si="2"/>
        <v>0.68497686321785423</v>
      </c>
    </row>
    <row r="18" spans="1:8" x14ac:dyDescent="0.4">
      <c r="A18">
        <v>0.15</v>
      </c>
      <c r="B18">
        <v>159.75635127580401</v>
      </c>
      <c r="C18">
        <v>155.88667183864001</v>
      </c>
      <c r="D18">
        <v>114.08360624472699</v>
      </c>
      <c r="F18">
        <f t="shared" si="0"/>
        <v>0.99592576005512945</v>
      </c>
      <c r="G18">
        <f t="shared" si="1"/>
        <v>0.93276362151385328</v>
      </c>
      <c r="H18">
        <f t="shared" si="2"/>
        <v>0.747001944779629</v>
      </c>
    </row>
    <row r="19" spans="1:8" x14ac:dyDescent="0.4">
      <c r="A19">
        <v>0.16</v>
      </c>
      <c r="B19">
        <v>160.008260453421</v>
      </c>
      <c r="C19">
        <v>159.27796347635601</v>
      </c>
      <c r="D19">
        <v>122.656492021087</v>
      </c>
      <c r="F19">
        <f t="shared" si="0"/>
        <v>0.99749616922621731</v>
      </c>
      <c r="G19">
        <f t="shared" si="1"/>
        <v>0.95305575702675949</v>
      </c>
      <c r="H19">
        <f t="shared" si="2"/>
        <v>0.80313588512489698</v>
      </c>
    </row>
    <row r="20" spans="1:8" x14ac:dyDescent="0.4">
      <c r="A20">
        <v>0.17</v>
      </c>
      <c r="B20">
        <v>160.14628048201899</v>
      </c>
      <c r="C20">
        <v>161.536589169542</v>
      </c>
      <c r="D20">
        <v>130.725599268515</v>
      </c>
      <c r="F20">
        <f t="shared" si="0"/>
        <v>0.99835659011581934</v>
      </c>
      <c r="G20">
        <f t="shared" si="1"/>
        <v>0.96657047163559495</v>
      </c>
      <c r="H20">
        <f t="shared" si="2"/>
        <v>0.85597116097981596</v>
      </c>
    </row>
    <row r="21" spans="1:8" x14ac:dyDescent="0.4">
      <c r="A21">
        <v>0.18</v>
      </c>
      <c r="B21">
        <v>160.227245354725</v>
      </c>
      <c r="C21">
        <v>163.17656533471899</v>
      </c>
      <c r="D21">
        <v>137.144651105154</v>
      </c>
      <c r="F21">
        <f t="shared" si="0"/>
        <v>0.99886132749710987</v>
      </c>
      <c r="G21">
        <f t="shared" si="1"/>
        <v>0.97638343440517861</v>
      </c>
      <c r="H21">
        <f t="shared" si="2"/>
        <v>0.89800212724612127</v>
      </c>
    </row>
    <row r="22" spans="1:8" x14ac:dyDescent="0.4">
      <c r="A22">
        <v>0.19</v>
      </c>
      <c r="B22">
        <v>160.27872145554301</v>
      </c>
      <c r="C22">
        <v>164.48853124956401</v>
      </c>
      <c r="D22">
        <v>141.62553857213399</v>
      </c>
      <c r="F22">
        <f t="shared" si="0"/>
        <v>0.99918223101313564</v>
      </c>
      <c r="G22">
        <f t="shared" si="1"/>
        <v>0.9842337147633371</v>
      </c>
      <c r="H22">
        <f t="shared" si="2"/>
        <v>0.92734229067847629</v>
      </c>
    </row>
    <row r="23" spans="1:8" x14ac:dyDescent="0.4">
      <c r="A23">
        <v>0.2</v>
      </c>
      <c r="B23">
        <v>160.312870467267</v>
      </c>
      <c r="C23">
        <v>165.25273118016199</v>
      </c>
      <c r="D23">
        <v>144.42466048558899</v>
      </c>
      <c r="F23">
        <f t="shared" si="0"/>
        <v>0.99939511694965555</v>
      </c>
      <c r="G23">
        <f t="shared" si="1"/>
        <v>0.98880638211467464</v>
      </c>
      <c r="H23">
        <f t="shared" si="2"/>
        <v>0.94567051137427671</v>
      </c>
    </row>
    <row r="24" spans="1:8" x14ac:dyDescent="0.4">
      <c r="A24">
        <v>0.21</v>
      </c>
      <c r="B24">
        <v>160.33782402394701</v>
      </c>
      <c r="C24">
        <v>165.71427018430199</v>
      </c>
      <c r="D24">
        <v>146.34626690295499</v>
      </c>
      <c r="F24">
        <f t="shared" si="0"/>
        <v>0.99955067815084819</v>
      </c>
      <c r="G24">
        <f t="shared" si="1"/>
        <v>0.99156804729036807</v>
      </c>
      <c r="H24">
        <f t="shared" si="2"/>
        <v>0.95825289527783408</v>
      </c>
    </row>
    <row r="25" spans="1:8" x14ac:dyDescent="0.4">
      <c r="A25">
        <v>0.22</v>
      </c>
      <c r="B25">
        <v>160.35621478737801</v>
      </c>
      <c r="C25">
        <v>166.03835304231299</v>
      </c>
      <c r="D25">
        <v>147.98611746305701</v>
      </c>
      <c r="F25">
        <f t="shared" si="0"/>
        <v>0.99966532670723884</v>
      </c>
      <c r="G25">
        <f t="shared" si="1"/>
        <v>0.99350722975377848</v>
      </c>
      <c r="H25">
        <f t="shared" si="2"/>
        <v>0.96899038507033253</v>
      </c>
    </row>
    <row r="26" spans="1:8" x14ac:dyDescent="0.4">
      <c r="A26">
        <v>0.23</v>
      </c>
      <c r="B26">
        <v>160.368536214438</v>
      </c>
      <c r="C26">
        <v>166.27039062912999</v>
      </c>
      <c r="D26">
        <v>149.259530908378</v>
      </c>
      <c r="F26">
        <f t="shared" si="0"/>
        <v>0.999742138843418</v>
      </c>
      <c r="G26">
        <f t="shared" si="1"/>
        <v>0.99489565005459035</v>
      </c>
      <c r="H26">
        <f t="shared" si="2"/>
        <v>0.97732850087395406</v>
      </c>
    </row>
    <row r="27" spans="1:8" x14ac:dyDescent="0.4">
      <c r="A27">
        <v>0.24</v>
      </c>
      <c r="B27">
        <v>160.37869345456099</v>
      </c>
      <c r="C27">
        <v>166.407027026528</v>
      </c>
      <c r="D27">
        <v>149.995352135811</v>
      </c>
      <c r="F27">
        <f t="shared" si="0"/>
        <v>0.99980545937501986</v>
      </c>
      <c r="G27">
        <f t="shared" si="1"/>
        <v>0.99571322771767301</v>
      </c>
      <c r="H27">
        <f t="shared" si="2"/>
        <v>0.98214654534147805</v>
      </c>
    </row>
    <row r="28" spans="1:8" x14ac:dyDescent="0.4">
      <c r="A28">
        <v>0.25</v>
      </c>
      <c r="B28">
        <v>160.38607745569001</v>
      </c>
      <c r="C28">
        <v>166.48694647257599</v>
      </c>
      <c r="D28">
        <v>150.38938360470701</v>
      </c>
      <c r="F28">
        <f t="shared" si="0"/>
        <v>0.99985149145373187</v>
      </c>
      <c r="G28">
        <f t="shared" si="1"/>
        <v>0.99619143378266795</v>
      </c>
      <c r="H28">
        <f t="shared" si="2"/>
        <v>0.98472660292607339</v>
      </c>
    </row>
    <row r="29" spans="1:8" x14ac:dyDescent="0.4">
      <c r="A29">
        <v>0.26</v>
      </c>
      <c r="B29">
        <v>160.391474635539</v>
      </c>
      <c r="C29">
        <v>166.59381313203701</v>
      </c>
      <c r="D29">
        <v>150.87436232753299</v>
      </c>
      <c r="F29">
        <f t="shared" si="0"/>
        <v>0.99988513763055253</v>
      </c>
      <c r="G29">
        <f t="shared" si="1"/>
        <v>0.99683088121664176</v>
      </c>
      <c r="H29">
        <f t="shared" si="2"/>
        <v>0.98790216917132867</v>
      </c>
    </row>
    <row r="30" spans="1:8" x14ac:dyDescent="0.4">
      <c r="A30">
        <v>0.27</v>
      </c>
      <c r="B30">
        <v>160.395303321017</v>
      </c>
      <c r="C30">
        <v>166.65767866025899</v>
      </c>
      <c r="D30">
        <v>151.14056668326299</v>
      </c>
      <c r="F30">
        <f t="shared" si="0"/>
        <v>0.99990900576765152</v>
      </c>
      <c r="G30">
        <f t="shared" si="1"/>
        <v>0.99721302704534931</v>
      </c>
      <c r="H30">
        <f t="shared" si="2"/>
        <v>0.98964523443709995</v>
      </c>
    </row>
    <row r="31" spans="1:8" x14ac:dyDescent="0.4">
      <c r="A31">
        <v>0.28000000000000003</v>
      </c>
      <c r="B31">
        <v>160.39855100464899</v>
      </c>
      <c r="C31">
        <v>166.71786201770399</v>
      </c>
      <c r="D31">
        <v>151.368046430737</v>
      </c>
      <c r="F31">
        <f t="shared" si="0"/>
        <v>0.99992925192227256</v>
      </c>
      <c r="G31">
        <f t="shared" si="1"/>
        <v>0.99757314023388</v>
      </c>
      <c r="H31">
        <f t="shared" si="2"/>
        <v>0.99113473691124632</v>
      </c>
    </row>
    <row r="32" spans="1:8" x14ac:dyDescent="0.4">
      <c r="A32">
        <v>0.28999999999999998</v>
      </c>
      <c r="B32">
        <v>160.401215086804</v>
      </c>
      <c r="C32">
        <v>166.77301497796799</v>
      </c>
      <c r="D32">
        <v>151.56374775233201</v>
      </c>
      <c r="F32">
        <f t="shared" si="0"/>
        <v>0.99994585988824003</v>
      </c>
      <c r="G32">
        <f t="shared" si="1"/>
        <v>0.99790315353358217</v>
      </c>
      <c r="H32">
        <f t="shared" si="2"/>
        <v>0.99241615912991132</v>
      </c>
    </row>
    <row r="33" spans="1:8" x14ac:dyDescent="0.4">
      <c r="A33">
        <v>0.3</v>
      </c>
      <c r="B33">
        <v>160.40304545068699</v>
      </c>
      <c r="C33">
        <v>166.820557824096</v>
      </c>
      <c r="D33">
        <v>151.73159511282</v>
      </c>
      <c r="F33">
        <f t="shared" si="0"/>
        <v>0.99995727043014826</v>
      </c>
      <c r="G33">
        <f t="shared" si="1"/>
        <v>0.99818763094790108</v>
      </c>
      <c r="H33">
        <f t="shared" si="2"/>
        <v>0.99351519788611697</v>
      </c>
    </row>
    <row r="34" spans="1:8" x14ac:dyDescent="0.4">
      <c r="A34">
        <v>0.31</v>
      </c>
      <c r="B34">
        <v>160.40456670717299</v>
      </c>
      <c r="C34">
        <v>166.84223305386601</v>
      </c>
      <c r="D34">
        <v>151.80677978842499</v>
      </c>
      <c r="F34">
        <f t="shared" si="0"/>
        <v>0.99996675398751522</v>
      </c>
      <c r="G34">
        <f t="shared" si="1"/>
        <v>0.99831732687109298</v>
      </c>
      <c r="H34">
        <f t="shared" si="2"/>
        <v>0.9940074956030569</v>
      </c>
    </row>
    <row r="35" spans="1:8" x14ac:dyDescent="0.4">
      <c r="A35">
        <v>0.32</v>
      </c>
      <c r="B35">
        <v>160.40580587453599</v>
      </c>
      <c r="C35">
        <v>166.882589730158</v>
      </c>
      <c r="D35">
        <v>151.94430455963001</v>
      </c>
      <c r="F35">
        <f t="shared" ref="F35:F53" si="3">B35/$B$53</f>
        <v>0.99997447899305003</v>
      </c>
      <c r="G35">
        <f t="shared" ref="G35:G53" si="4">C35/$C$53</f>
        <v>0.9985588051135007</v>
      </c>
      <c r="H35">
        <f t="shared" ref="H35:H53" si="5">D35/$D$53</f>
        <v>0.99490798669837821</v>
      </c>
    </row>
    <row r="36" spans="1:8" x14ac:dyDescent="0.4">
      <c r="A36">
        <v>0.33</v>
      </c>
      <c r="B36">
        <v>160.40680940150901</v>
      </c>
      <c r="C36">
        <v>166.91989375457999</v>
      </c>
      <c r="D36">
        <v>152.067109066954</v>
      </c>
      <c r="F36">
        <f t="shared" si="3"/>
        <v>0.99998073500951112</v>
      </c>
      <c r="G36">
        <f t="shared" si="4"/>
        <v>0.99878201750559603</v>
      </c>
      <c r="H36">
        <f t="shared" si="5"/>
        <v>0.99571209176498998</v>
      </c>
    </row>
    <row r="37" spans="1:8" x14ac:dyDescent="0.4">
      <c r="A37">
        <v>0.34</v>
      </c>
      <c r="B37">
        <v>160.407466763977</v>
      </c>
      <c r="C37">
        <v>166.93731854757601</v>
      </c>
      <c r="D37">
        <v>152.12328131321999</v>
      </c>
      <c r="F37">
        <f t="shared" si="3"/>
        <v>0.99998483302633701</v>
      </c>
      <c r="G37">
        <f t="shared" si="4"/>
        <v>0.99888628051171069</v>
      </c>
      <c r="H37">
        <f t="shared" si="5"/>
        <v>0.99607989901253891</v>
      </c>
    </row>
    <row r="38" spans="1:8" x14ac:dyDescent="0.4">
      <c r="A38">
        <v>0.35</v>
      </c>
      <c r="B38">
        <v>160.40800081389199</v>
      </c>
      <c r="C38">
        <v>166.954161024711</v>
      </c>
      <c r="D38">
        <v>152.17618920564399</v>
      </c>
      <c r="F38">
        <f t="shared" si="3"/>
        <v>0.9999881623091057</v>
      </c>
      <c r="G38">
        <f t="shared" si="4"/>
        <v>0.99898705917214647</v>
      </c>
      <c r="H38">
        <f t="shared" si="5"/>
        <v>0.99642633177212525</v>
      </c>
    </row>
    <row r="39" spans="1:8" x14ac:dyDescent="0.4">
      <c r="A39">
        <v>0.36</v>
      </c>
      <c r="B39">
        <v>160.40843446171601</v>
      </c>
      <c r="C39">
        <v>166.98625033806101</v>
      </c>
      <c r="D39">
        <v>152.27298617266101</v>
      </c>
      <c r="F39">
        <f t="shared" si="3"/>
        <v>0.99999086568230677</v>
      </c>
      <c r="G39">
        <f t="shared" si="4"/>
        <v>0.99917906881465934</v>
      </c>
      <c r="H39">
        <f t="shared" si="5"/>
        <v>0.99706014345629812</v>
      </c>
    </row>
    <row r="40" spans="1:8" x14ac:dyDescent="0.4">
      <c r="A40">
        <v>0.37</v>
      </c>
      <c r="B40">
        <v>160.40871301106901</v>
      </c>
      <c r="C40">
        <v>167.00130855399101</v>
      </c>
      <c r="D40">
        <v>152.31748054934599</v>
      </c>
      <c r="F40">
        <f t="shared" si="3"/>
        <v>0.99999260216710928</v>
      </c>
      <c r="G40">
        <f t="shared" si="4"/>
        <v>0.99926917116823921</v>
      </c>
      <c r="H40">
        <f t="shared" si="5"/>
        <v>0.99735148580608446</v>
      </c>
    </row>
    <row r="41" spans="1:8" x14ac:dyDescent="0.4">
      <c r="A41">
        <v>0.38</v>
      </c>
      <c r="B41">
        <v>160.40901377353501</v>
      </c>
      <c r="C41">
        <v>167.01556392121901</v>
      </c>
      <c r="D41">
        <v>152.35984834931699</v>
      </c>
      <c r="F41">
        <f t="shared" si="3"/>
        <v>0.99999447712910705</v>
      </c>
      <c r="G41">
        <f t="shared" si="4"/>
        <v>0.99935446959564656</v>
      </c>
      <c r="H41">
        <f t="shared" si="5"/>
        <v>0.99762890365792267</v>
      </c>
    </row>
    <row r="42" spans="1:8" x14ac:dyDescent="0.4">
      <c r="A42">
        <v>0.39</v>
      </c>
      <c r="B42">
        <v>160.40919103623801</v>
      </c>
      <c r="C42">
        <v>167.028818910079</v>
      </c>
      <c r="D42">
        <v>152.40036768634801</v>
      </c>
      <c r="F42">
        <f t="shared" si="3"/>
        <v>0.99999558218997509</v>
      </c>
      <c r="G42">
        <f t="shared" si="4"/>
        <v>0.99943378215820466</v>
      </c>
      <c r="H42">
        <f t="shared" si="5"/>
        <v>0.99789421805812162</v>
      </c>
    </row>
    <row r="43" spans="1:8" x14ac:dyDescent="0.4">
      <c r="A43">
        <v>0.4</v>
      </c>
      <c r="B43">
        <v>160.40938648764899</v>
      </c>
      <c r="C43">
        <v>167.04080397790199</v>
      </c>
      <c r="D43">
        <v>152.43925591395299</v>
      </c>
      <c r="F43">
        <f t="shared" si="3"/>
        <v>0.99999680063977991</v>
      </c>
      <c r="G43">
        <f t="shared" si="4"/>
        <v>0.99950549602017114</v>
      </c>
      <c r="H43">
        <f t="shared" si="5"/>
        <v>0.99814885220413241</v>
      </c>
    </row>
    <row r="44" spans="1:8" x14ac:dyDescent="0.4">
      <c r="A44">
        <v>0.41</v>
      </c>
      <c r="B44">
        <v>160.40950455413099</v>
      </c>
      <c r="C44">
        <v>167.05155920496</v>
      </c>
      <c r="D44">
        <v>152.47651302734701</v>
      </c>
      <c r="F44">
        <f t="shared" si="3"/>
        <v>0.99999753666967717</v>
      </c>
      <c r="G44">
        <f t="shared" si="4"/>
        <v>0.99956985100589579</v>
      </c>
      <c r="H44">
        <f t="shared" si="5"/>
        <v>0.99839280606462399</v>
      </c>
    </row>
    <row r="45" spans="1:8" x14ac:dyDescent="0.4">
      <c r="A45">
        <v>0.42</v>
      </c>
      <c r="B45">
        <v>160.409599148361</v>
      </c>
      <c r="C45">
        <v>167.06138659807101</v>
      </c>
      <c r="D45">
        <v>152.51214852898499</v>
      </c>
      <c r="F45">
        <f t="shared" si="3"/>
        <v>0.99999812637287</v>
      </c>
      <c r="G45">
        <f t="shared" si="4"/>
        <v>0.99962865420363012</v>
      </c>
      <c r="H45">
        <f t="shared" si="5"/>
        <v>0.99862614186021303</v>
      </c>
    </row>
    <row r="46" spans="1:8" x14ac:dyDescent="0.4">
      <c r="A46">
        <v>0.43</v>
      </c>
      <c r="B46">
        <v>160.40967975759401</v>
      </c>
      <c r="C46">
        <v>167.07064543628701</v>
      </c>
      <c r="D46">
        <v>152.546090226085</v>
      </c>
      <c r="F46">
        <f t="shared" si="3"/>
        <v>0.99999862889318303</v>
      </c>
      <c r="G46">
        <f t="shared" si="4"/>
        <v>0.99968405539581351</v>
      </c>
      <c r="H46">
        <f t="shared" si="5"/>
        <v>0.99884838688364286</v>
      </c>
    </row>
    <row r="47" spans="1:8" x14ac:dyDescent="0.4">
      <c r="A47">
        <v>0.44</v>
      </c>
      <c r="B47">
        <v>160.40972161291299</v>
      </c>
      <c r="C47">
        <v>167.079634549074</v>
      </c>
      <c r="D47">
        <v>152.57849838615701</v>
      </c>
      <c r="F47">
        <f t="shared" si="3"/>
        <v>0.99999888982046414</v>
      </c>
      <c r="G47">
        <f t="shared" si="4"/>
        <v>0.9997378426586917</v>
      </c>
      <c r="H47">
        <f t="shared" si="5"/>
        <v>0.99906059054197205</v>
      </c>
    </row>
    <row r="48" spans="1:8" x14ac:dyDescent="0.4">
      <c r="A48">
        <v>0.45</v>
      </c>
      <c r="B48">
        <v>160.40977239299701</v>
      </c>
      <c r="C48">
        <v>167.088517512343</v>
      </c>
      <c r="D48">
        <v>152.60954429160401</v>
      </c>
      <c r="F48">
        <f t="shared" si="3"/>
        <v>0.99999920638499107</v>
      </c>
      <c r="G48">
        <f t="shared" si="4"/>
        <v>0.99979099476522426</v>
      </c>
      <c r="H48">
        <f t="shared" si="5"/>
        <v>0.99926387436608788</v>
      </c>
    </row>
    <row r="49" spans="1:8" x14ac:dyDescent="0.4">
      <c r="A49">
        <v>0.46</v>
      </c>
      <c r="B49">
        <v>160.40981404124301</v>
      </c>
      <c r="C49">
        <v>167.097352013006</v>
      </c>
      <c r="D49">
        <v>152.63934673555099</v>
      </c>
      <c r="F49">
        <f t="shared" si="3"/>
        <v>0.99999946602137313</v>
      </c>
      <c r="G49">
        <f t="shared" si="4"/>
        <v>0.99984385689086652</v>
      </c>
      <c r="H49">
        <f t="shared" si="5"/>
        <v>0.9994590161951411</v>
      </c>
    </row>
    <row r="50" spans="1:8" x14ac:dyDescent="0.4">
      <c r="A50">
        <v>0.47</v>
      </c>
      <c r="B50">
        <v>160.409837399613</v>
      </c>
      <c r="C50">
        <v>167.10613073480599</v>
      </c>
      <c r="D50">
        <v>152.66800929292199</v>
      </c>
      <c r="F50">
        <f t="shared" si="3"/>
        <v>0.99999961163813389</v>
      </c>
      <c r="G50">
        <f t="shared" si="4"/>
        <v>0.9998963852580568</v>
      </c>
      <c r="H50">
        <f t="shared" si="5"/>
        <v>0.99964669422183816</v>
      </c>
    </row>
    <row r="51" spans="1:8" x14ac:dyDescent="0.4">
      <c r="A51">
        <v>0.48</v>
      </c>
      <c r="B51">
        <v>160.409866351262</v>
      </c>
      <c r="C51">
        <v>167.10613073480599</v>
      </c>
      <c r="D51">
        <v>152.66800929292199</v>
      </c>
      <c r="F51">
        <f t="shared" si="3"/>
        <v>0.99999979212355938</v>
      </c>
      <c r="G51">
        <f t="shared" si="4"/>
        <v>0.9998963852580568</v>
      </c>
      <c r="H51">
        <f t="shared" si="5"/>
        <v>0.99964669422183816</v>
      </c>
    </row>
    <row r="52" spans="1:8" x14ac:dyDescent="0.4">
      <c r="A52">
        <v>0.49</v>
      </c>
      <c r="B52">
        <v>160.40988578294599</v>
      </c>
      <c r="C52">
        <v>167.11482889318199</v>
      </c>
      <c r="D52">
        <v>152.69556076307401</v>
      </c>
      <c r="F52">
        <f t="shared" si="3"/>
        <v>0.99999991326124493</v>
      </c>
      <c r="G52">
        <f t="shared" si="4"/>
        <v>0.99994843156587521</v>
      </c>
      <c r="H52">
        <f t="shared" si="5"/>
        <v>0.99982709701994876</v>
      </c>
    </row>
    <row r="53" spans="1:8" x14ac:dyDescent="0.4">
      <c r="A53">
        <v>0.5</v>
      </c>
      <c r="B53">
        <v>160.40989969670099</v>
      </c>
      <c r="C53">
        <v>167.123447187659</v>
      </c>
      <c r="D53">
        <v>152.72196684626101</v>
      </c>
      <c r="F53">
        <f t="shared" si="3"/>
        <v>1</v>
      </c>
      <c r="G53">
        <f t="shared" si="4"/>
        <v>1</v>
      </c>
      <c r="H53">
        <f t="shared" si="5"/>
        <v>1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graphs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阿部一幾</dc:creator>
  <cp:lastModifiedBy>一幾 阿部</cp:lastModifiedBy>
  <dcterms:created xsi:type="dcterms:W3CDTF">2024-09-08T07:51:14Z</dcterms:created>
  <dcterms:modified xsi:type="dcterms:W3CDTF">2026-09-23T08:39:17Z</dcterms:modified>
</cp:coreProperties>
</file>